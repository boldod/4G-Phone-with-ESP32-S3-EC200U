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<sst xmlns="http://schemas.openxmlformats.org/spreadsheetml/2006/main" count="19" uniqueCount="19">
  <si>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Component</t>
  </si>
  <si>
    <t>Cost(INR)</t>
  </si>
  <si>
    <t>Cost(USD)</t>
  </si>
  <si>
    <t>Hosyond 2.8'' Screen</t>
  </si>
  <si>
    <t>Electret Microphone</t>
  </si>
  <si>
    <t>Power supply module</t>
  </si>
  <si>
    <t>B203 Potentiometer</t>
  </si>
  <si>
    <t>GPS ceramic Antenna</t>
  </si>
  <si>
    <t>32GB Storage SD Card</t>
  </si>
  <si>
    <t>3.7V 3200mAH Battery</t>
  </si>
  <si>
    <t>8 Ohm Speaker</t>
  </si>
  <si>
    <t>Capacitative Stylus</t>
  </si>
  <si>
    <t>ESP32-S3+EC200U</t>
  </si>
  <si>
    <t>4G LTE Antenna</t>
  </si>
  <si>
    <t>MSS22D18 Slide Switch</t>
  </si>
  <si>
    <t>PCB manufacturin</t>
  </si>
  <si>
    <t>PCBA assembly</t>
  </si>
  <si>
    <t>Logistics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</si>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</sst>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Sheet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C17" displayName="BOM" name="BOM" id="1">
  <tableColumns count="3">
    <tableColumn totalsRowLabel="Total" name="Component" id="1"/>
    <tableColumn totalsRowFunction="custom" name="Cost(INR)" id="2"/>
    <tableColumn totalsRowFunction="custom" name="Cost(USD)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</cols>
  <sheetData>
    <row r="1" ht="22.5" customHeight="1">
      <c r="A1" s="1" t="s">
        <v>0</v>
      </c>
      <c r="B1" s="2" t="s">
        <v>1</v>
      </c>
      <c r="C1" s="1" t="s">
        <v>2</v>
      </c>
    </row>
    <row r="2" ht="22.5" customHeight="1">
      <c r="A2" s="3" t="s">
        <v>3</v>
      </c>
      <c r="B2" s="4">
        <v>3456.84</v>
      </c>
      <c r="C2" s="5">
        <f>IFERROR(__xludf.DUMMYFUNCTION("B2 * GOOGLEFINANCE(""CURRENCY:INRUSD"")"),36.0429496704)</f>
        <v>36.04294967</v>
      </c>
    </row>
    <row r="3" ht="22.5" customHeight="1">
      <c r="A3" s="3" t="s">
        <v>4</v>
      </c>
      <c r="B3" s="3">
        <v>172.0</v>
      </c>
      <c r="C3" s="5">
        <f>IFERROR(__xludf.DUMMYFUNCTION("B3 * GOOGLEFINANCE(""CURRENCY:INRUSD"")"),1.79336832)</f>
        <v>1.79336832</v>
      </c>
    </row>
    <row r="4" ht="22.5" customHeight="1">
      <c r="A4" s="3" t="s">
        <v>5</v>
      </c>
      <c r="B4" s="3">
        <v>259.0</v>
      </c>
      <c r="C4" s="5">
        <f>IFERROR(__xludf.DUMMYFUNCTION("B4 * GOOGLEFINANCE(""CURRENCY:INRUSD"")"),2.70047904)</f>
        <v>2.70047904</v>
      </c>
    </row>
    <row r="5" ht="22.5" customHeight="1">
      <c r="A5" s="3" t="s">
        <v>6</v>
      </c>
      <c r="B5" s="3">
        <v>153.0</v>
      </c>
      <c r="C5" s="5">
        <f>IFERROR(__xludf.DUMMYFUNCTION("B5 * GOOGLEFINANCE(""CURRENCY:INRUSD"")"),1.59526368)</f>
        <v>1.59526368</v>
      </c>
    </row>
    <row r="6" ht="22.5" customHeight="1">
      <c r="A6" s="3" t="s">
        <v>7</v>
      </c>
      <c r="B6" s="3">
        <v>294.0</v>
      </c>
      <c r="C6" s="5">
        <f>IFERROR(__xludf.DUMMYFUNCTION("B6 * GOOGLEFINANCE(""CURRENCY:INRUSD"")"),3.06540864)</f>
        <v>3.06540864</v>
      </c>
    </row>
    <row r="7" ht="22.5" customHeight="1">
      <c r="A7" s="3" t="s">
        <v>8</v>
      </c>
      <c r="B7" s="3">
        <v>742.0</v>
      </c>
      <c r="C7" s="5">
        <f>IFERROR(__xludf.DUMMYFUNCTION("B7 * GOOGLEFINANCE(""CURRENCY:INRUSD"")"),7.73650752)</f>
        <v>7.73650752</v>
      </c>
    </row>
    <row r="8" ht="22.5" customHeight="1">
      <c r="A8" s="3" t="s">
        <v>9</v>
      </c>
      <c r="B8" s="3">
        <v>629.0</v>
      </c>
      <c r="C8" s="5">
        <f>IFERROR(__xludf.DUMMYFUNCTION("B8 * GOOGLEFINANCE(""CURRENCY:INRUSD"")"),6.558306239999999)</f>
        <v>6.55830624</v>
      </c>
    </row>
    <row r="9" ht="22.5" customHeight="1">
      <c r="A9" s="3" t="s">
        <v>10</v>
      </c>
      <c r="B9" s="3">
        <v>399.0</v>
      </c>
      <c r="C9" s="5">
        <f>IFERROR(__xludf.DUMMYFUNCTION("B9 * GOOGLEFINANCE(""CURRENCY:INRUSD"")"),4.16019744)</f>
        <v>4.16019744</v>
      </c>
      <c r="E9" s="6">
        <v>123.0</v>
      </c>
    </row>
    <row r="10" ht="22.5" customHeight="1">
      <c r="A10" s="3" t="s">
        <v>11</v>
      </c>
      <c r="B10" s="4">
        <v>148.0</v>
      </c>
      <c r="C10" s="5">
        <f>IFERROR(__xludf.DUMMYFUNCTION("B10 * GOOGLEFINANCE(""CURRENCY:INRUSD"")"),1.5431308799999999)</f>
        <v>1.54313088</v>
      </c>
      <c r="E10" s="6">
        <v>158.0</v>
      </c>
    </row>
    <row r="11" ht="22.5" customHeight="1">
      <c r="A11" s="3" t="s">
        <v>12</v>
      </c>
      <c r="B11" s="4">
        <v>2235.75</v>
      </c>
      <c r="C11" s="5">
        <f>IFERROR(__xludf.DUMMYFUNCTION("B11 * GOOGLEFINANCE(""CURRENCY:INRUSD"")"),23.311181519999998)</f>
        <v>23.31118152</v>
      </c>
      <c r="E11" s="6">
        <v>75.0</v>
      </c>
    </row>
    <row r="12" ht="22.5" customHeight="1">
      <c r="A12" s="3" t="s">
        <v>13</v>
      </c>
      <c r="B12" s="3">
        <v>171.96</v>
      </c>
      <c r="C12" s="5">
        <f>IFERROR(__xludf.DUMMYFUNCTION("B12 * GOOGLEFINANCE(""CURRENCY:INRUSD"")"),1.7929512576)</f>
        <v>1.792951258</v>
      </c>
    </row>
    <row r="13" ht="22.5" customHeight="1">
      <c r="A13" s="3" t="s">
        <v>14</v>
      </c>
      <c r="B13" s="3">
        <v>61.4</v>
      </c>
      <c r="C13" s="5">
        <f>IFERROR(__xludf.DUMMYFUNCTION("B13 * GOOGLEFINANCE(""CURRENCY:INRUSD"")"),0.640190784)</f>
        <v>0.640190784</v>
      </c>
    </row>
    <row r="14" ht="22.5" customHeight="1">
      <c r="A14" s="3" t="s">
        <v>15</v>
      </c>
      <c r="B14" s="3">
        <v>191.63</v>
      </c>
      <c r="C14" s="5">
        <f>IFERROR(__xludf.DUMMYFUNCTION("B14 * GOOGLEFINANCE(""CURRENCY:INRUSD"")"),1.9980416928)</f>
        <v>1.998041693</v>
      </c>
    </row>
    <row r="15" ht="22.5" customHeight="1">
      <c r="A15" s="3" t="s">
        <v>16</v>
      </c>
      <c r="B15" s="3">
        <v>1478.4</v>
      </c>
      <c r="C15" s="5">
        <f>IFERROR(__xludf.DUMMYFUNCTION("B15 * GOOGLEFINANCE(""CURRENCY:INRUSD"")"),15.414626304)</f>
        <v>15.4146263</v>
      </c>
    </row>
    <row r="16" ht="22.5" customHeight="1">
      <c r="A16" s="3" t="s">
        <v>17</v>
      </c>
      <c r="B16" s="3">
        <v>356.0</v>
      </c>
      <c r="C16" s="5">
        <f>IFERROR(__xludf.DUMMYFUNCTION("B16 * GOOGLEFINANCE(""CURRENCY:INRUSD"")"),3.71185536)</f>
        <v>3.71185536</v>
      </c>
    </row>
    <row r="17" ht="22.5" customHeight="1">
      <c r="A17" s="3" t="s">
        <v>18</v>
      </c>
      <c r="B17" s="7">
        <f>SUM(BOM[Cost(INR)])</f>
        <v>10747.98</v>
      </c>
      <c r="C17" s="5">
        <f>SUM(BOM[Cost(USD)])</f>
        <v>112.0644583</v>
      </c>
    </row>
  </sheetData>
  <drawing r:id="rId1"/>
  <tableParts count="1">
    <tablePart r:id="rId3"/>
  </tableParts>
</worksheet>
</file>